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8_{57784EE1-C653-4E28-A67B-58ED5838809E}" xr6:coauthVersionLast="47" xr6:coauthVersionMax="47" xr10:uidLastSave="{00000000-0000-0000-0000-000000000000}"/>
  <bookViews>
    <workbookView xWindow="-110" yWindow="-110" windowWidth="19420" windowHeight="10300" xr2:uid="{8B945A66-AD74-466E-88F0-FF4C9DE164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" l="1"/>
  <c r="C7" i="1"/>
  <c r="E7" i="1"/>
  <c r="D6" i="1"/>
  <c r="E6" i="1" l="1"/>
  <c r="C8" i="1" l="1"/>
  <c r="D7" i="1"/>
  <c r="B8" i="1" l="1"/>
  <c r="B9" i="1" s="1"/>
  <c r="F7" i="1"/>
  <c r="D8" i="1"/>
  <c r="C9" i="1" l="1"/>
  <c r="D9" i="1" s="1"/>
  <c r="F8" i="1"/>
  <c r="E8" i="1"/>
  <c r="F9" i="1" l="1"/>
  <c r="E9" i="1"/>
</calcChain>
</file>

<file path=xl/sharedStrings.xml><?xml version="1.0" encoding="utf-8"?>
<sst xmlns="http://schemas.openxmlformats.org/spreadsheetml/2006/main" count="9" uniqueCount="9">
  <si>
    <t>f(x) = X^3+X^2-2X-1</t>
  </si>
  <si>
    <t>error relatif</t>
  </si>
  <si>
    <t>batas iterasi</t>
  </si>
  <si>
    <t>iterasi ke</t>
  </si>
  <si>
    <t>Xb</t>
  </si>
  <si>
    <t>Xa</t>
  </si>
  <si>
    <t>Xi</t>
  </si>
  <si>
    <t>f(Xi)</t>
  </si>
  <si>
    <t xml:space="preserve">error relatif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</si>
</sst>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2" fillId="0" borderId="0" xfId="0" applyFont="1"/>
    <xf numFmtId="10" fontId="2" fillId="0" borderId="0" xfId="0" applyNumberFormat="1" applyFont="1"/>
    <xf numFmtId="0" fontId="3" fillId="2" borderId="1" xfId="0" applyFont="1" applyFill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10" fontId="2" fillId="0" borderId="1" xfId="1" applyNumberFormat="1" applyFont="1" applyBorder="1"/>
    <xf numFmtId="0" fontId="2" fillId="3" borderId="1" xfId="0" applyFont="1" applyFill="1" applyBorder="1"/>
    <xf numFmtId="164" fontId="2" fillId="3" borderId="1" xfId="0" applyNumberFormat="1" applyFont="1" applyFill="1" applyBorder="1"/>
    <xf numFmtId="10" fontId="2" fillId="3" borderId="1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982AA-036B-4131-A635-62AF9A3EE615}">
  <dimension ref="A1:F9"/>
  <sheetViews>
    <sheetView tabSelected="1" workbookViewId="0">
      <selection activeCell="C15" sqref="C15"/>
    </sheetView>
  </sheetViews>
  <sheetFormatPr defaultRowHeight="15.5" x14ac:dyDescent="0.35"/>
  <cols>
    <col min="1" max="1" width="11.1796875" style="2" bestFit="1" customWidth="1"/>
    <col min="2" max="3" width="14.1796875" style="2" bestFit="1" customWidth="1"/>
    <col min="4" max="4" width="14.54296875" style="2" bestFit="1" customWidth="1"/>
    <col min="5" max="5" width="14.1796875" style="2" bestFit="1" customWidth="1"/>
    <col min="6" max="6" width="12.7265625" style="2" bestFit="1" customWidth="1"/>
    <col min="7" max="16384" width="8.7265625" style="2"/>
  </cols>
  <sheetData>
    <row r="1" spans="1:6" x14ac:dyDescent="0.35">
      <c r="A1" s="1" t="s">
        <v>0</v>
      </c>
      <c r="B1" s="1"/>
      <c r="C1" s="1"/>
    </row>
    <row r="2" spans="1:6" x14ac:dyDescent="0.35">
      <c r="A2" s="2" t="s">
        <v>1</v>
      </c>
      <c r="B2" s="3">
        <v>1E-4</v>
      </c>
    </row>
    <row r="3" spans="1:6" x14ac:dyDescent="0.35">
      <c r="A3" s="2" t="s">
        <v>2</v>
      </c>
      <c r="B3" s="2">
        <v>30</v>
      </c>
    </row>
    <row r="5" spans="1:6" x14ac:dyDescent="0.3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35">
      <c r="A6" s="5">
        <v>0</v>
      </c>
      <c r="B6" s="5">
        <v>-0.7</v>
      </c>
      <c r="C6" s="5">
        <v>0.2</v>
      </c>
      <c r="D6" s="6">
        <f xml:space="preserve"> (B6+C6)/2</f>
        <v>-0.24999999999999997</v>
      </c>
      <c r="E6" s="6">
        <f>D6^3 + D6^2 - 2*D6 - 1</f>
        <v>-0.45312500000000011</v>
      </c>
      <c r="F6" s="5"/>
    </row>
    <row r="7" spans="1:6" x14ac:dyDescent="0.35">
      <c r="A7" s="5">
        <v>1</v>
      </c>
      <c r="B7" s="5">
        <f>B6</f>
        <v>-0.7</v>
      </c>
      <c r="C7" s="6">
        <f>D6</f>
        <v>-0.24999999999999997</v>
      </c>
      <c r="D7" s="6">
        <f>C7 - ((C7^3 + C7^2 - 2*C7 - 1)*(B7 - C7)) / ((B7^3 + B7^2 - 2*B7 - 1) - (C7^3 + C7^2 - 2*C7 - 1))</f>
        <v>-0.45388076490438689</v>
      </c>
      <c r="E7" s="6">
        <f>D7^3+D7^2-2*D7-1</f>
        <v>2.0266323979997614E-2</v>
      </c>
      <c r="F7" s="7">
        <f>ABS((D7-D6)/D7)</f>
        <v>0.44919454770755884</v>
      </c>
    </row>
    <row r="8" spans="1:6" x14ac:dyDescent="0.35">
      <c r="A8" s="5">
        <v>2</v>
      </c>
      <c r="B8" s="6">
        <f>D7</f>
        <v>-0.45388076490438689</v>
      </c>
      <c r="C8" s="6">
        <f>C7</f>
        <v>-0.24999999999999997</v>
      </c>
      <c r="D8" s="6">
        <f t="shared" ref="D8:D9" si="0">C8 - ((C8^3 + C8^2 - 2*C8 - 1)*(B8 - C8)) / ((B8^3 + B8^2 - 2*B8 - 1) - (C8^3 + C8^2 - 2*C8 - 1))</f>
        <v>-0.44515243925595016</v>
      </c>
      <c r="E8" s="6">
        <f t="shared" ref="E8:E9" si="1">D8^3+D8^2-2*D8-1</f>
        <v>2.5385631053653768E-4</v>
      </c>
      <c r="F8" s="7">
        <f t="shared" ref="F8:F9" si="2">ABS((D8-D7)/D8)</f>
        <v>1.9607498193260912E-2</v>
      </c>
    </row>
    <row r="9" spans="1:6" x14ac:dyDescent="0.35">
      <c r="A9" s="8">
        <v>3</v>
      </c>
      <c r="B9" s="9">
        <f>B8</f>
        <v>-0.45388076490438689</v>
      </c>
      <c r="C9" s="9">
        <f>D8</f>
        <v>-0.44515243925595016</v>
      </c>
      <c r="D9" s="9">
        <f t="shared" si="0"/>
        <v>-0.44504172124841257</v>
      </c>
      <c r="E9" s="9">
        <f t="shared" si="1"/>
        <v>-3.367259329145611E-7</v>
      </c>
      <c r="F9" s="10">
        <f t="shared" si="2"/>
        <v>2.4878118668741829E-4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2026-05-18T08:05:27Z</dcterms:created>
  <dcterms:modified xsi:type="dcterms:W3CDTF">2026-05-18T08:06:21Z</dcterms:modified>
</cp:coreProperties>
</file>